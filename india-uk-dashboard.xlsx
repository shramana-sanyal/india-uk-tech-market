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ary by experience" sheetId="2" state="visible" r:id="rId4"/>
    <sheet name="Languages" sheetId="3" state="visible" r:id="rId5"/>
    <sheet name="Databases" sheetId="4" state="visible" r:id="rId6"/>
    <sheet name="Platforms" sheetId="5" state="visible" r:id="rId7"/>
    <sheet name="AI adop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<sst xmlns="http://schemas.openxmlformats.org/spreadsheetml/2006/main" count="74" uniqueCount="60">
  <si>
    <t xml:space="preserve">India vs UK Tech Market </t>
  </si>
  <si>
    <t xml:space="preserve">India</t>
  </si>
  <si>
    <t xml:space="preserve">UK</t>
  </si>
  <si>
    <t xml:space="preserve">India </t>
  </si>
  <si>
    <t xml:space="preserve">Gap (UK ÷ India) </t>
  </si>
  <si>
    <t xml:space="preserve">Median salary (0-3 years) </t>
  </si>
  <si>
    <t xml:space="preserve">Median salary (20+ years) </t>
  </si>
  <si>
    <t xml:space="preserve">Python use (%)</t>
  </si>
  <si>
    <t xml:space="preserve">MongoDB use (%) </t>
  </si>
  <si>
    <t xml:space="preserve">AI use daily (%) </t>
  </si>
  <si>
    <t xml:space="preserve">Won't use AI (%) </t>
  </si>
  <si>
    <t xml:space="preserve">count</t>
  </si>
  <si>
    <t xml:space="preserve">median</t>
  </si>
  <si>
    <t xml:space="preserve">exp_band</t>
  </si>
  <si>
    <t xml:space="preserve">0-3</t>
  </si>
  <si>
    <t xml:space="preserve">4-6</t>
  </si>
  <si>
    <t xml:space="preserve">7-10</t>
  </si>
  <si>
    <t xml:space="preserve">11-20</t>
  </si>
  <si>
    <t xml:space="preserve">20+</t>
  </si>
  <si>
    <t xml:space="preserve">LanguageHaveWorkedWith</t>
  </si>
  <si>
    <t xml:space="preserve">difference</t>
  </si>
  <si>
    <t xml:space="preserve">JavaScript</t>
  </si>
  <si>
    <t xml:space="preserve">HTML/CSS</t>
  </si>
  <si>
    <t xml:space="preserve">SQL</t>
  </si>
  <si>
    <t xml:space="preserve">Python</t>
  </si>
  <si>
    <t xml:space="preserve">Bash/Shell (all shells)</t>
  </si>
  <si>
    <t xml:space="preserve">TypeScript</t>
  </si>
  <si>
    <t xml:space="preserve">Java</t>
  </si>
  <si>
    <t xml:space="preserve">C#</t>
  </si>
  <si>
    <t xml:space="preserve">PowerShell</t>
  </si>
  <si>
    <t xml:space="preserve">C++</t>
  </si>
  <si>
    <t xml:space="preserve">DatabaseHaveWorkedWith</t>
  </si>
  <si>
    <t xml:space="preserve">MySQL</t>
  </si>
  <si>
    <t xml:space="preserve">PostgreSQL</t>
  </si>
  <si>
    <t xml:space="preserve">MongoDB</t>
  </si>
  <si>
    <t xml:space="preserve">Microsoft SQL Server</t>
  </si>
  <si>
    <t xml:space="preserve">SQLite</t>
  </si>
  <si>
    <t xml:space="preserve">Redis</t>
  </si>
  <si>
    <t xml:space="preserve">MariaDB</t>
  </si>
  <si>
    <t xml:space="preserve">Elasticsearch</t>
  </si>
  <si>
    <t xml:space="preserve">Dynamodb</t>
  </si>
  <si>
    <t xml:space="preserve">Oracle</t>
  </si>
  <si>
    <t xml:space="preserve">PlatformHaveWorkedWith</t>
  </si>
  <si>
    <t xml:space="preserve">Docker</t>
  </si>
  <si>
    <t xml:space="preserve">npm</t>
  </si>
  <si>
    <t xml:space="preserve">Amazon Web Services (AWS)</t>
  </si>
  <si>
    <t xml:space="preserve">Pip</t>
  </si>
  <si>
    <t xml:space="preserve">Microsoft Azure</t>
  </si>
  <si>
    <t xml:space="preserve">Google Cloud</t>
  </si>
  <si>
    <t xml:space="preserve">Kubernetes</t>
  </si>
  <si>
    <t xml:space="preserve">Homebrew</t>
  </si>
  <si>
    <t xml:space="preserve">Terraform</t>
  </si>
  <si>
    <t xml:space="preserve">Vite</t>
  </si>
  <si>
    <t xml:space="preserve">Country</t>
  </si>
  <si>
    <t xml:space="preserve">No, and I don't plan to</t>
  </si>
  <si>
    <t xml:space="preserve">No, but I plan to soon</t>
  </si>
  <si>
    <t xml:space="preserve">Yes, I use AI tools daily</t>
  </si>
  <si>
    <t xml:space="preserve">Yes, I use AI tools monthly or infrequently</t>
  </si>
  <si>
    <t xml:space="preserve">Yes, I use AI tools weekly</t>
  </si>
  <si>
    <t xml:space="preserve">United Kingdom of Great Britain and Northern Ireland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</si>
</sst>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Dashboard!$F$1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'Salary by experience'!$A$4:$A$8</c:f>
              <c:strCache>
                <c:ptCount val="5"/>
                <c:pt idx="0">
                  <c:v>0-3</c:v>
                </c:pt>
                <c:pt idx="1">
                  <c:v>4-6</c:v>
                </c:pt>
                <c:pt idx="2">
                  <c:v>7-10</c:v>
                </c:pt>
                <c:pt idx="3">
                  <c:v>11-20</c:v>
                </c:pt>
                <c:pt idx="4">
                  <c:v>20+</c:v>
                </c:pt>
              </c:strCache>
            </c:strRef>
          </c:cat>
          <c:val>
            <c:numRef>
              <c:f>'Salary by experience'!$C$4:$C$8</c:f>
              <c:numCache>
                <c:formatCode>General</c:formatCode>
                <c:ptCount val="5"/>
                <c:pt idx="0">
                  <c:v>8137</c:v>
                </c:pt>
                <c:pt idx="1">
                  <c:v>15111</c:v>
                </c:pt>
                <c:pt idx="2">
                  <c:v>30222</c:v>
                </c:pt>
                <c:pt idx="3">
                  <c:v>44462</c:v>
                </c:pt>
                <c:pt idx="4">
                  <c:v>47658.5</c:v>
                </c:pt>
              </c:numCache>
            </c:numRef>
          </c:val>
        </c:ser>
        <c:ser>
          <c:idx val="1"/>
          <c:order val="1"/>
          <c:tx>
            <c:strRef>
              <c:f>Dashboard!$G$1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'Salary by experience'!$A$4:$A$8</c:f>
              <c:strCache>
                <c:ptCount val="5"/>
                <c:pt idx="0">
                  <c:v>0-3</c:v>
                </c:pt>
                <c:pt idx="1">
                  <c:v>4-6</c:v>
                </c:pt>
                <c:pt idx="2">
                  <c:v>7-10</c:v>
                </c:pt>
                <c:pt idx="3">
                  <c:v>11-20</c:v>
                </c:pt>
                <c:pt idx="4">
                  <c:v>20+</c:v>
                </c:pt>
              </c:strCache>
            </c:strRef>
          </c:cat>
          <c:val>
            <c:numRef>
              <c:f>'Salary by experience'!$E$4:$E$8</c:f>
              <c:numCache>
                <c:formatCode>General</c:formatCode>
                <c:ptCount val="5"/>
                <c:pt idx="0">
                  <c:v>50889.5</c:v>
                </c:pt>
                <c:pt idx="1">
                  <c:v>73516</c:v>
                </c:pt>
                <c:pt idx="2">
                  <c:v>91215</c:v>
                </c:pt>
                <c:pt idx="3">
                  <c:v>108913</c:v>
                </c:pt>
                <c:pt idx="4">
                  <c:v>108913</c:v>
                </c:pt>
              </c:numCache>
            </c:numRef>
          </c:val>
        </c:ser>
        <c:gapWidth val="100"/>
        <c:overlap val="0"/>
        <c:axId val="79506601"/>
        <c:axId val="71583541"/>
      </c:barChart>
      <c:catAx>
        <c:axId val="795066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1583541"/>
        <c:crosses val="autoZero"/>
        <c:auto val="1"/>
        <c:lblAlgn val="ctr"/>
        <c:lblOffset val="100"/>
        <c:noMultiLvlLbl val="0"/>
      </c:catAx>
      <c:valAx>
        <c:axId val="715835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950660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446040</xdr:colOff>
      <xdr:row>0</xdr:row>
      <xdr:rowOff>97560</xdr:rowOff>
    </xdr:from>
    <xdr:to>
      <xdr:col>15</xdr:col>
      <xdr:colOff>596160</xdr:colOff>
      <xdr:row>19</xdr:row>
      <xdr:rowOff>110160</xdr:rowOff>
    </xdr:to>
    <xdr:graphicFrame>
      <xdr:nvGraphicFramePr>
        <xdr:cNvPr id="1" name=""/>
        <xdr:cNvGraphicFramePr/>
      </xdr:nvGraphicFramePr>
      <xdr:xfrm>
        <a:off x="6076080" y="97560"/>
        <a:ext cx="7465320" cy="419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25" activeCellId="0" sqref="I25"/>
    </sheetView>
  </sheetViews>
  <sheetFormatPr defaultColWidth="11.53515625" defaultRowHeight="17.35" customHeight="false" zeroHeight="false" outlineLevelRow="0" outlineLevelCol="0"/>
  <cols>
    <col collapsed="false" customWidth="true" hidden="false" outlineLevel="0" max="1" min="1" style="1" width="27.92"/>
    <col collapsed="false" customWidth="true" hidden="false" outlineLevel="0" max="3" min="2" style="1" width="11.97"/>
    <col collapsed="false" customWidth="true" hidden="false" outlineLevel="0" max="4" min="4" style="1" width="28.01"/>
    <col collapsed="false" customWidth="false" hidden="false" outlineLevel="0" max="5" min="5" style="1" width="11.53"/>
    <col collapsed="false" customWidth="false" hidden="true" outlineLevel="0" max="7" min="6" style="1" width="11.53"/>
    <col collapsed="false" customWidth="false" hidden="false" outlineLevel="0" max="16384" min="8" style="1" width="11.53"/>
  </cols>
  <sheetData>
    <row r="1" customFormat="false" ht="17.35" hidden="false" customHeight="false" outlineLevel="0" collapsed="false">
      <c r="A1" s="1" t="s">
        <v>0</v>
      </c>
      <c r="F1" s="1" t="s">
        <v>1</v>
      </c>
      <c r="G1" s="1" t="s">
        <v>2</v>
      </c>
    </row>
    <row r="2" customFormat="false" ht="17.35" hidden="false" customHeight="false" outlineLevel="0" collapsed="false">
      <c r="B2" s="1" t="s">
        <v>3</v>
      </c>
      <c r="C2" s="1" t="s">
        <v>2</v>
      </c>
      <c r="D2" s="1" t="s">
        <v>4</v>
      </c>
    </row>
    <row r="3" customFormat="false" ht="17.35" hidden="false" customHeight="false" outlineLevel="0" collapsed="false">
      <c r="A3" s="1" t="s">
        <v>5</v>
      </c>
      <c r="B3" s="1" t="n">
        <f aca="false">'Salary by experience'!C4</f>
        <v>8137</v>
      </c>
      <c r="C3" s="1" t="n">
        <f aca="false">'Salary by experience'!E4</f>
        <v>50889.5</v>
      </c>
      <c r="D3" s="1" t="n">
        <f aca="false">C3/B3</f>
        <v>6.25408627258203</v>
      </c>
    </row>
    <row r="4" customFormat="false" ht="17.35" hidden="false" customHeight="false" outlineLevel="0" collapsed="false">
      <c r="A4" s="1" t="s">
        <v>6</v>
      </c>
      <c r="B4" s="1" t="n">
        <f aca="false">'Salary by experience'!C8</f>
        <v>47658.5</v>
      </c>
      <c r="C4" s="1" t="n">
        <f aca="false">'Salary by experience'!E8</f>
        <v>108913</v>
      </c>
      <c r="D4" s="1" t="n">
        <f aca="false">C4/B4</f>
        <v>2.28527964581344</v>
      </c>
    </row>
    <row r="6" customFormat="false" ht="17.35" hidden="false" customHeight="false" outlineLevel="0" collapsed="false">
      <c r="A6" s="1" t="s">
        <v>7</v>
      </c>
      <c r="B6" s="1" t="n">
        <f aca="false">VLOOKUP("Python",Languages!A:C,2,0)</f>
        <v>54.5</v>
      </c>
      <c r="C6" s="1" t="n">
        <f aca="false">VLOOKUP("Python",Languages!A:C,3,0)</f>
        <v>53.8</v>
      </c>
      <c r="D6" s="1" t="n">
        <f aca="false">B6-C6</f>
        <v>0.700000000000003</v>
      </c>
    </row>
    <row r="7" customFormat="false" ht="17.35" hidden="false" customHeight="false" outlineLevel="0" collapsed="false">
      <c r="A7" s="1" t="s">
        <v>8</v>
      </c>
      <c r="B7" s="1" t="n">
        <f aca="false">VLOOKUP("MongoDB",Databases!A:C,2,0)</f>
        <v>44.6</v>
      </c>
      <c r="C7" s="1" t="n">
        <f aca="false">VLOOKUP("MongoDB",Databases!A:C,3,0)</f>
        <v>17</v>
      </c>
      <c r="D7" s="1" t="n">
        <f aca="false">B7-C7</f>
        <v>27.6</v>
      </c>
    </row>
    <row r="9" customFormat="false" ht="17.35" hidden="false" customHeight="false" outlineLevel="0" collapsed="false">
      <c r="A9" s="1" t="s">
        <v>9</v>
      </c>
      <c r="B9" s="1" t="n">
        <f aca="false">VLOOKUP("India",'AI adoption'!A:F,4,0)</f>
        <v>61.4</v>
      </c>
      <c r="C9" s="1" t="n">
        <f aca="false">VLOOKUP("United Kingdom of Great Britain and Northern Ireland",'AI adoption'!A:F,4,0)</f>
        <v>37.6</v>
      </c>
      <c r="D9" s="1" t="n">
        <f aca="false">B9-C9</f>
        <v>23.8</v>
      </c>
    </row>
    <row r="10" customFormat="false" ht="17.35" hidden="false" customHeight="false" outlineLevel="0" collapsed="false">
      <c r="A10" s="1" t="s">
        <v>10</v>
      </c>
      <c r="B10" s="1" t="n">
        <f aca="false">VLOOKUP("India",'AI adoption'!A:F,2,0)</f>
        <v>5.1</v>
      </c>
      <c r="C10" s="1" t="n">
        <f aca="false">VLOOKUP("United Kingdom of Great Britain and Northern Ireland",'AI adoption'!A:F,2,0)</f>
        <v>26.2</v>
      </c>
      <c r="D10" s="1" t="n">
        <f aca="false">B10-C10</f>
        <v>-21.1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B1" s="2" t="s">
        <v>1</v>
      </c>
      <c r="C1" s="2"/>
      <c r="D1" s="2" t="s">
        <v>2</v>
      </c>
      <c r="E1" s="2"/>
    </row>
    <row r="2" customFormat="false" ht="15" hidden="false" customHeight="false" outlineLevel="0" collapsed="false">
      <c r="B2" s="0" t="s">
        <v>11</v>
      </c>
      <c r="C2" s="0" t="s">
        <v>12</v>
      </c>
      <c r="D2" s="0" t="s">
        <v>11</v>
      </c>
      <c r="E2" s="0" t="s">
        <v>12</v>
      </c>
    </row>
    <row r="3" customFormat="false" ht="15" hidden="false" customHeight="false" outlineLevel="0" collapsed="false">
      <c r="A3" s="0" t="s">
        <v>13</v>
      </c>
    </row>
    <row r="4" customFormat="false" ht="15" hidden="false" customHeight="false" outlineLevel="0" collapsed="false">
      <c r="A4" s="0" t="s">
        <v>14</v>
      </c>
      <c r="B4" s="0" t="n">
        <v>308</v>
      </c>
      <c r="C4" s="0" t="n">
        <v>8137</v>
      </c>
      <c r="D4" s="0" t="n">
        <v>136</v>
      </c>
      <c r="E4" s="0" t="n">
        <v>50889.5</v>
      </c>
    </row>
    <row r="5" customFormat="false" ht="15" hidden="false" customHeight="false" outlineLevel="0" collapsed="false">
      <c r="A5" s="0" t="s">
        <v>15</v>
      </c>
      <c r="B5" s="0" t="n">
        <v>217</v>
      </c>
      <c r="C5" s="0" t="n">
        <v>15111</v>
      </c>
      <c r="D5" s="0" t="n">
        <v>159</v>
      </c>
      <c r="E5" s="0" t="n">
        <v>73516</v>
      </c>
    </row>
    <row r="6" customFormat="false" ht="15" hidden="false" customHeight="false" outlineLevel="0" collapsed="false">
      <c r="A6" s="0" t="s">
        <v>16</v>
      </c>
      <c r="B6" s="0" t="n">
        <v>213</v>
      </c>
      <c r="C6" s="0" t="n">
        <v>30222</v>
      </c>
      <c r="D6" s="0" t="n">
        <v>225</v>
      </c>
      <c r="E6" s="0" t="n">
        <v>91215</v>
      </c>
    </row>
    <row r="7" customFormat="false" ht="15" hidden="false" customHeight="false" outlineLevel="0" collapsed="false">
      <c r="A7" s="0" t="s">
        <v>17</v>
      </c>
      <c r="B7" s="0" t="n">
        <v>215</v>
      </c>
      <c r="C7" s="0" t="n">
        <v>44462</v>
      </c>
      <c r="D7" s="0" t="n">
        <v>467</v>
      </c>
      <c r="E7" s="0" t="n">
        <v>108913</v>
      </c>
    </row>
    <row r="8" customFormat="false" ht="15" hidden="false" customHeight="false" outlineLevel="0" collapsed="false">
      <c r="A8" s="0" t="s">
        <v>18</v>
      </c>
      <c r="B8" s="0" t="n">
        <v>40</v>
      </c>
      <c r="C8" s="0" t="n">
        <v>47658.5</v>
      </c>
      <c r="D8" s="0" t="n">
        <v>447</v>
      </c>
      <c r="E8" s="0" t="n">
        <v>108913</v>
      </c>
    </row>
  </sheetData>
  <mergeCells count="2">
    <mergeCell ref="B1:C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22.94"/>
    <col collapsed="false" customWidth="true" hidden="false" outlineLevel="0" max="2" min="2" style="0" width="5.29"/>
    <col collapsed="false" customWidth="true" hidden="false" outlineLevel="0" max="3" min="3" style="0" width="4.89"/>
    <col collapsed="false" customWidth="true" hidden="false" outlineLevel="0" max="4" min="4" style="0" width="9.3"/>
  </cols>
  <sheetData>
    <row r="1" customFormat="false" ht="15" hidden="false" customHeight="false" outlineLevel="0" collapsed="false">
      <c r="A1" s="0" t="s">
        <v>19</v>
      </c>
      <c r="B1" s="0" t="s">
        <v>1</v>
      </c>
      <c r="C1" s="0" t="s">
        <v>2</v>
      </c>
      <c r="D1" s="0" t="s">
        <v>20</v>
      </c>
    </row>
    <row r="2" customFormat="false" ht="15" hidden="false" customHeight="false" outlineLevel="0" collapsed="false">
      <c r="A2" s="0" t="s">
        <v>21</v>
      </c>
      <c r="B2" s="0" t="n">
        <v>69</v>
      </c>
      <c r="C2" s="0" t="n">
        <v>66.9</v>
      </c>
      <c r="D2" s="0" t="n">
        <v>2.1</v>
      </c>
    </row>
    <row r="3" customFormat="false" ht="15" hidden="false" customHeight="false" outlineLevel="0" collapsed="false">
      <c r="A3" s="0" t="s">
        <v>22</v>
      </c>
      <c r="B3" s="0" t="n">
        <v>59</v>
      </c>
      <c r="C3" s="0" t="n">
        <v>61.6</v>
      </c>
      <c r="D3" s="0" t="n">
        <v>-2.6</v>
      </c>
    </row>
    <row r="4" customFormat="false" ht="15" hidden="false" customHeight="false" outlineLevel="0" collapsed="false">
      <c r="A4" s="0" t="s">
        <v>23</v>
      </c>
      <c r="B4" s="0" t="n">
        <v>56.2</v>
      </c>
      <c r="C4" s="0" t="n">
        <v>61.2</v>
      </c>
      <c r="D4" s="0" t="n">
        <v>-5</v>
      </c>
    </row>
    <row r="5" customFormat="false" ht="15" hidden="false" customHeight="false" outlineLevel="0" collapsed="false">
      <c r="A5" s="0" t="s">
        <v>24</v>
      </c>
      <c r="B5" s="0" t="n">
        <v>54.5</v>
      </c>
      <c r="C5" s="0" t="n">
        <v>53.8</v>
      </c>
      <c r="D5" s="0" t="n">
        <v>0.7</v>
      </c>
    </row>
    <row r="6" customFormat="false" ht="15" hidden="false" customHeight="false" outlineLevel="0" collapsed="false">
      <c r="A6" s="0" t="s">
        <v>25</v>
      </c>
      <c r="B6" s="0" t="n">
        <v>31.3</v>
      </c>
      <c r="C6" s="0" t="n">
        <v>50.5</v>
      </c>
      <c r="D6" s="0" t="n">
        <v>-19.2</v>
      </c>
    </row>
    <row r="7" customFormat="false" ht="15" hidden="false" customHeight="false" outlineLevel="0" collapsed="false">
      <c r="A7" s="0" t="s">
        <v>26</v>
      </c>
      <c r="B7" s="0" t="n">
        <v>43.3</v>
      </c>
      <c r="C7" s="0" t="n">
        <v>41.7</v>
      </c>
      <c r="D7" s="0" t="n">
        <v>1.6</v>
      </c>
    </row>
    <row r="8" customFormat="false" ht="15" hidden="false" customHeight="false" outlineLevel="0" collapsed="false">
      <c r="A8" s="0" t="s">
        <v>27</v>
      </c>
      <c r="B8" s="0" t="n">
        <v>37.1</v>
      </c>
      <c r="C8" s="0" t="n">
        <v>21.7</v>
      </c>
      <c r="D8" s="0" t="n">
        <v>15.4</v>
      </c>
    </row>
    <row r="9" customFormat="false" ht="15" hidden="false" customHeight="false" outlineLevel="0" collapsed="false">
      <c r="A9" s="0" t="s">
        <v>28</v>
      </c>
      <c r="B9" s="0" t="n">
        <v>17.4</v>
      </c>
      <c r="C9" s="0" t="n">
        <v>34.3</v>
      </c>
      <c r="D9" s="0" t="n">
        <v>-16.9</v>
      </c>
    </row>
    <row r="10" customFormat="false" ht="15" hidden="false" customHeight="false" outlineLevel="0" collapsed="false">
      <c r="A10" s="0" t="s">
        <v>29</v>
      </c>
      <c r="B10" s="0" t="n">
        <v>15.2</v>
      </c>
      <c r="C10" s="0" t="n">
        <v>25.8</v>
      </c>
      <c r="D10" s="0" t="n">
        <v>-10.6</v>
      </c>
    </row>
    <row r="11" customFormat="false" ht="15" hidden="false" customHeight="false" outlineLevel="0" collapsed="false">
      <c r="A11" s="0" t="s">
        <v>30</v>
      </c>
      <c r="B11" s="0" t="n">
        <v>21.8</v>
      </c>
      <c r="C11" s="0" t="n">
        <v>19.3</v>
      </c>
      <c r="D11" s="0" t="n">
        <v>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22.8"/>
    <col collapsed="false" customWidth="true" hidden="false" outlineLevel="0" max="2" min="2" style="0" width="5.29"/>
    <col collapsed="false" customWidth="true" hidden="false" outlineLevel="0" max="3" min="3" style="0" width="4.89"/>
    <col collapsed="false" customWidth="true" hidden="false" outlineLevel="0" max="4" min="4" style="0" width="9.3"/>
  </cols>
  <sheetData>
    <row r="1" customFormat="false" ht="15" hidden="false" customHeight="false" outlineLevel="0" collapsed="false">
      <c r="A1" s="0" t="s">
        <v>31</v>
      </c>
      <c r="B1" s="0" t="s">
        <v>1</v>
      </c>
      <c r="C1" s="0" t="s">
        <v>2</v>
      </c>
      <c r="D1" s="0" t="s">
        <v>20</v>
      </c>
    </row>
    <row r="2" customFormat="false" ht="15" hidden="false" customHeight="false" outlineLevel="0" collapsed="false">
      <c r="A2" s="0" t="s">
        <v>32</v>
      </c>
      <c r="B2" s="0" t="n">
        <v>58.3</v>
      </c>
      <c r="C2" s="0" t="n">
        <v>36.5</v>
      </c>
      <c r="D2" s="0" t="n">
        <v>21.8</v>
      </c>
    </row>
    <row r="3" customFormat="false" ht="15" hidden="false" customHeight="false" outlineLevel="0" collapsed="false">
      <c r="A3" s="0" t="s">
        <v>33</v>
      </c>
      <c r="B3" s="0" t="n">
        <v>53.5</v>
      </c>
      <c r="C3" s="0" t="n">
        <v>51.6</v>
      </c>
      <c r="D3" s="0" t="n">
        <v>1.9</v>
      </c>
    </row>
    <row r="4" customFormat="false" ht="15" hidden="false" customHeight="false" outlineLevel="0" collapsed="false">
      <c r="A4" s="0" t="s">
        <v>34</v>
      </c>
      <c r="B4" s="0" t="n">
        <v>44.6</v>
      </c>
      <c r="C4" s="0" t="n">
        <v>17</v>
      </c>
      <c r="D4" s="0" t="n">
        <v>27.6</v>
      </c>
    </row>
    <row r="5" customFormat="false" ht="15" hidden="false" customHeight="false" outlineLevel="0" collapsed="false">
      <c r="A5" s="0" t="s">
        <v>35</v>
      </c>
      <c r="B5" s="0" t="n">
        <v>26.3</v>
      </c>
      <c r="C5" s="0" t="n">
        <v>35.8</v>
      </c>
      <c r="D5" s="0" t="n">
        <v>-9.5</v>
      </c>
    </row>
    <row r="6" customFormat="false" ht="15" hidden="false" customHeight="false" outlineLevel="0" collapsed="false">
      <c r="A6" s="0" t="s">
        <v>36</v>
      </c>
      <c r="B6" s="0" t="n">
        <v>31.2</v>
      </c>
      <c r="C6" s="0" t="n">
        <v>34.2</v>
      </c>
      <c r="D6" s="0" t="n">
        <v>-3</v>
      </c>
    </row>
    <row r="7" customFormat="false" ht="15" hidden="false" customHeight="false" outlineLevel="0" collapsed="false">
      <c r="A7" s="0" t="s">
        <v>37</v>
      </c>
      <c r="B7" s="0" t="n">
        <v>30.7</v>
      </c>
      <c r="C7" s="0" t="n">
        <v>25.9</v>
      </c>
      <c r="D7" s="0" t="n">
        <v>4.8</v>
      </c>
    </row>
    <row r="8" customFormat="false" ht="15" hidden="false" customHeight="false" outlineLevel="0" collapsed="false">
      <c r="A8" s="0" t="s">
        <v>38</v>
      </c>
      <c r="B8" s="0" t="n">
        <v>14.8</v>
      </c>
      <c r="C8" s="0" t="n">
        <v>18</v>
      </c>
      <c r="D8" s="0" t="n">
        <v>-3.2</v>
      </c>
    </row>
    <row r="9" customFormat="false" ht="15" hidden="false" customHeight="false" outlineLevel="0" collapsed="false">
      <c r="A9" s="0" t="s">
        <v>39</v>
      </c>
      <c r="B9" s="0" t="n">
        <v>17.3</v>
      </c>
      <c r="C9" s="0" t="n">
        <v>16.6</v>
      </c>
      <c r="D9" s="0" t="n">
        <v>0.7</v>
      </c>
    </row>
    <row r="10" customFormat="false" ht="15" hidden="false" customHeight="false" outlineLevel="0" collapsed="false">
      <c r="A10" s="0" t="s">
        <v>40</v>
      </c>
      <c r="B10" s="0" t="n">
        <v>12.2</v>
      </c>
      <c r="C10" s="0" t="n">
        <v>13.2</v>
      </c>
      <c r="D10" s="0" t="n">
        <v>-1</v>
      </c>
    </row>
    <row r="11" customFormat="false" ht="15" hidden="false" customHeight="false" outlineLevel="0" collapsed="false">
      <c r="A11" s="0" t="s">
        <v>41</v>
      </c>
      <c r="B11" s="0" t="n">
        <v>13.1</v>
      </c>
      <c r="C11" s="0" t="n">
        <v>7</v>
      </c>
      <c r="D11" s="0" t="n">
        <v>6.1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24.07"/>
    <col collapsed="false" customWidth="true" hidden="false" outlineLevel="0" max="2" min="2" style="0" width="5.29"/>
    <col collapsed="false" customWidth="true" hidden="false" outlineLevel="0" max="3" min="3" style="0" width="4.89"/>
    <col collapsed="false" customWidth="true" hidden="false" outlineLevel="0" max="4" min="4" style="0" width="9.3"/>
  </cols>
  <sheetData>
    <row r="1" customFormat="false" ht="15" hidden="false" customHeight="false" outlineLevel="0" collapsed="false">
      <c r="A1" s="0" t="s">
        <v>42</v>
      </c>
      <c r="B1" s="0" t="s">
        <v>1</v>
      </c>
      <c r="C1" s="0" t="s">
        <v>2</v>
      </c>
      <c r="D1" s="0" t="s">
        <v>20</v>
      </c>
    </row>
    <row r="2" customFormat="false" ht="15" hidden="false" customHeight="false" outlineLevel="0" collapsed="false">
      <c r="A2" s="0" t="s">
        <v>43</v>
      </c>
      <c r="B2" s="0" t="n">
        <v>62</v>
      </c>
      <c r="C2" s="0" t="n">
        <v>68.7</v>
      </c>
      <c r="D2" s="0" t="n">
        <v>-6.7</v>
      </c>
    </row>
    <row r="3" customFormat="false" ht="15" hidden="false" customHeight="false" outlineLevel="0" collapsed="false">
      <c r="A3" s="0" t="s">
        <v>44</v>
      </c>
      <c r="B3" s="0" t="n">
        <v>54.8</v>
      </c>
      <c r="C3" s="0" t="n">
        <v>54.8</v>
      </c>
      <c r="D3" s="0" t="n">
        <v>0</v>
      </c>
    </row>
    <row r="4" customFormat="false" ht="15" hidden="false" customHeight="false" outlineLevel="0" collapsed="false">
      <c r="A4" s="0" t="s">
        <v>45</v>
      </c>
      <c r="B4" s="0" t="n">
        <v>54.4</v>
      </c>
      <c r="C4" s="0" t="n">
        <v>51.8</v>
      </c>
      <c r="D4" s="0" t="n">
        <v>2.6</v>
      </c>
    </row>
    <row r="5" customFormat="false" ht="15" hidden="false" customHeight="false" outlineLevel="0" collapsed="false">
      <c r="A5" s="0" t="s">
        <v>46</v>
      </c>
      <c r="B5" s="0" t="n">
        <v>39.3</v>
      </c>
      <c r="C5" s="0" t="n">
        <v>36.4</v>
      </c>
      <c r="D5" s="0" t="n">
        <v>2.9</v>
      </c>
    </row>
    <row r="6" customFormat="false" ht="15" hidden="false" customHeight="false" outlineLevel="0" collapsed="false">
      <c r="A6" s="0" t="s">
        <v>47</v>
      </c>
      <c r="B6" s="0" t="n">
        <v>25.2</v>
      </c>
      <c r="C6" s="0" t="n">
        <v>34.2</v>
      </c>
      <c r="D6" s="0" t="n">
        <v>-9</v>
      </c>
    </row>
    <row r="7" customFormat="false" ht="15" hidden="false" customHeight="false" outlineLevel="0" collapsed="false">
      <c r="A7" s="0" t="s">
        <v>48</v>
      </c>
      <c r="B7" s="0" t="n">
        <v>32.8</v>
      </c>
      <c r="C7" s="0" t="n">
        <v>23.5</v>
      </c>
      <c r="D7" s="0" t="n">
        <v>9.3</v>
      </c>
    </row>
    <row r="8" customFormat="false" ht="15" hidden="false" customHeight="false" outlineLevel="0" collapsed="false">
      <c r="A8" s="0" t="s">
        <v>49</v>
      </c>
      <c r="B8" s="0" t="n">
        <v>26.3</v>
      </c>
      <c r="C8" s="0" t="n">
        <v>26.3</v>
      </c>
      <c r="D8" s="0" t="n">
        <v>0</v>
      </c>
    </row>
    <row r="9" customFormat="false" ht="15" hidden="false" customHeight="false" outlineLevel="0" collapsed="false">
      <c r="A9" s="0" t="s">
        <v>50</v>
      </c>
      <c r="B9" s="0" t="n">
        <v>19.1</v>
      </c>
      <c r="C9" s="0" t="n">
        <v>25.3</v>
      </c>
      <c r="D9" s="0" t="n">
        <v>-6.2</v>
      </c>
    </row>
    <row r="10" customFormat="false" ht="15" hidden="false" customHeight="false" outlineLevel="0" collapsed="false">
      <c r="A10" s="0" t="s">
        <v>51</v>
      </c>
      <c r="B10" s="0" t="n">
        <v>13.1</v>
      </c>
      <c r="C10" s="0" t="n">
        <v>25.2</v>
      </c>
      <c r="D10" s="0" t="n">
        <v>-12.1</v>
      </c>
    </row>
    <row r="11" customFormat="false" ht="15" hidden="false" customHeight="false" outlineLevel="0" collapsed="false">
      <c r="A11" s="0" t="s">
        <v>52</v>
      </c>
      <c r="B11" s="0" t="n">
        <v>25.2</v>
      </c>
      <c r="C11" s="0" t="n">
        <v>21.3</v>
      </c>
      <c r="D11" s="0" t="n">
        <v>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43.92"/>
    <col collapsed="false" customWidth="true" hidden="false" outlineLevel="0" max="2" min="2" style="0" width="19.06"/>
    <col collapsed="false" customWidth="true" hidden="false" outlineLevel="0" max="3" min="3" style="0" width="18.46"/>
    <col collapsed="false" customWidth="true" hidden="false" outlineLevel="0" max="4" min="4" style="0" width="19.19"/>
    <col collapsed="false" customWidth="true" hidden="false" outlineLevel="0" max="5" min="5" style="0" width="34.23"/>
    <col collapsed="false" customWidth="true" hidden="false" outlineLevel="0" max="6" min="6" style="0" width="20.93"/>
  </cols>
  <sheetData>
    <row r="1" customFormat="false" ht="15" hidden="false" customHeight="false" outlineLevel="0" collapsed="false">
      <c r="A1" s="0" t="s">
        <v>53</v>
      </c>
      <c r="B1" s="0" t="s">
        <v>54</v>
      </c>
      <c r="C1" s="0" t="s">
        <v>55</v>
      </c>
      <c r="D1" s="0" t="s">
        <v>56</v>
      </c>
      <c r="E1" s="0" t="s">
        <v>57</v>
      </c>
      <c r="F1" s="0" t="s">
        <v>58</v>
      </c>
    </row>
    <row r="2" customFormat="false" ht="15" hidden="false" customHeight="false" outlineLevel="0" collapsed="false">
      <c r="A2" s="0" t="s">
        <v>1</v>
      </c>
      <c r="B2" s="0" t="n">
        <v>5.1</v>
      </c>
      <c r="C2" s="0" t="n">
        <v>7.7</v>
      </c>
      <c r="D2" s="0" t="n">
        <v>61.4</v>
      </c>
      <c r="E2" s="0" t="n">
        <v>11</v>
      </c>
      <c r="F2" s="0" t="n">
        <v>14.8</v>
      </c>
    </row>
    <row r="3" customFormat="false" ht="15" hidden="false" customHeight="false" outlineLevel="0" collapsed="false">
      <c r="A3" s="0" t="s">
        <v>59</v>
      </c>
      <c r="B3" s="0" t="n">
        <v>26.2</v>
      </c>
      <c r="C3" s="0" t="n">
        <v>5.2</v>
      </c>
      <c r="D3" s="0" t="n">
        <v>37.6</v>
      </c>
      <c r="E3" s="0" t="n">
        <v>15.1</v>
      </c>
      <c r="F3" s="0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2026-09-24T05:39:10Z</dcterms:created>
  <dc:creator>openpyxl</dc:creator>
  <dc:description/>
  <dc:language>en-US</dc:language>
  <cp:lastModifiedBy/>
  <dcterms:modified xsi:type="dcterms:W3CDTF">2026-09-24T12:01:16Z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